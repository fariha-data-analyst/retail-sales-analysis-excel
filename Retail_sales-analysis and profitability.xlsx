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de762cb690466927/Desktop/"/>
    </mc:Choice>
  </mc:AlternateContent>
  <xr:revisionPtr revIDLastSave="0" documentId="8_{A87BDA35-167F-49C6-9090-E5FE37B0FA1A}" xr6:coauthVersionLast="47" xr6:coauthVersionMax="47" xr10:uidLastSave="{00000000-0000-0000-0000-000000000000}"/>
  <bookViews>
    <workbookView xWindow="-108" yWindow="-108" windowWidth="23256" windowHeight="12456" xr2:uid="{F6FCBCF7-8664-45BD-B12F-FE3EFBB047E0}"/>
  </bookViews>
  <sheets>
    <sheet name="Raw_Data." sheetId="1" r:id="rId1"/>
    <sheet name="Category_analysis" sheetId="2" r:id="rId2"/>
  </sheets>
  <definedNames>
    <definedName name="Slicer_Region">#N/A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L11" i="1"/>
  <c r="L12" i="1"/>
  <c r="L13" i="1"/>
  <c r="L15" i="1"/>
  <c r="L16" i="1"/>
  <c r="L2" i="1"/>
  <c r="K3" i="1"/>
  <c r="L3" i="1" s="1"/>
  <c r="K4" i="1"/>
  <c r="L4" i="1" s="1"/>
  <c r="K5" i="1"/>
  <c r="L5" i="1" s="1"/>
  <c r="K7" i="1"/>
  <c r="L7" i="1" s="1"/>
  <c r="K8" i="1"/>
  <c r="L8" i="1" s="1"/>
  <c r="K9" i="1"/>
  <c r="K11" i="1"/>
  <c r="K12" i="1"/>
  <c r="K13" i="1"/>
  <c r="K15" i="1"/>
  <c r="K16" i="1"/>
  <c r="K2" i="1"/>
  <c r="J3" i="1"/>
  <c r="J4" i="1"/>
  <c r="J5" i="1"/>
  <c r="J6" i="1"/>
  <c r="J7" i="1"/>
  <c r="J8" i="1"/>
  <c r="J9" i="1"/>
  <c r="J10" i="1"/>
  <c r="J11" i="1"/>
  <c r="J12" i="1"/>
  <c r="J13" i="1"/>
  <c r="J14" i="1"/>
  <c r="J15" i="1"/>
  <c r="J16" i="1"/>
  <c r="J2" i="1"/>
  <c r="I3" i="1"/>
  <c r="I4" i="1"/>
  <c r="I5" i="1"/>
  <c r="I6" i="1"/>
  <c r="K6" i="1" s="1"/>
  <c r="L6" i="1" s="1"/>
  <c r="I7" i="1"/>
  <c r="I8" i="1"/>
  <c r="I9" i="1"/>
  <c r="I10" i="1"/>
  <c r="K10" i="1" s="1"/>
  <c r="L10" i="1" s="1"/>
  <c r="I11" i="1"/>
  <c r="I12" i="1"/>
  <c r="I13" i="1"/>
  <c r="I14" i="1"/>
  <c r="K14" i="1" s="1"/>
  <c r="L14" i="1" s="1"/>
  <c r="I15" i="1"/>
  <c r="I16" i="1"/>
  <c r="I2" i="1"/>
</calcChain>
</file>

<file path=xl/sharedStrings.xml><?xml version="1.0" encoding="utf-8"?>
<sst xmlns="http://schemas.openxmlformats.org/spreadsheetml/2006/main" count="80" uniqueCount="54">
  <si>
    <t>Order ID</t>
  </si>
  <si>
    <t>Order Date</t>
  </si>
  <si>
    <t>Customer Name</t>
  </si>
  <si>
    <t>Category</t>
  </si>
  <si>
    <t>Region</t>
  </si>
  <si>
    <t>Units Sold</t>
  </si>
  <si>
    <t>Unit Price</t>
  </si>
  <si>
    <t>Unit Cost</t>
  </si>
  <si>
    <t>ORD1001</t>
  </si>
  <si>
    <t>Alice Smith</t>
  </si>
  <si>
    <t>Electronics</t>
  </si>
  <si>
    <t>North</t>
  </si>
  <si>
    <t>ORD1002</t>
  </si>
  <si>
    <t>Bob Johnson</t>
  </si>
  <si>
    <t>Furniture</t>
  </si>
  <si>
    <t>South</t>
  </si>
  <si>
    <t>ORD1003</t>
  </si>
  <si>
    <t>Charlie Brown</t>
  </si>
  <si>
    <t>Clothing</t>
  </si>
  <si>
    <t>East</t>
  </si>
  <si>
    <t>ORD1004</t>
  </si>
  <si>
    <t>Diana Prince</t>
  </si>
  <si>
    <t>West</t>
  </si>
  <si>
    <t>ORD1005</t>
  </si>
  <si>
    <t>Evan Wright</t>
  </si>
  <si>
    <t>Home Appliances</t>
  </si>
  <si>
    <t>ORD1006</t>
  </si>
  <si>
    <t>Fiona Gallagher</t>
  </si>
  <si>
    <t>ORD1007</t>
  </si>
  <si>
    <t>George Clark</t>
  </si>
  <si>
    <t>ORD1008</t>
  </si>
  <si>
    <t>Hannah Abbott</t>
  </si>
  <si>
    <t>ORD1009</t>
  </si>
  <si>
    <t>Ian Malcolm</t>
  </si>
  <si>
    <t>ORD1010</t>
  </si>
  <si>
    <t>Julia Roberts</t>
  </si>
  <si>
    <t>ORD1011</t>
  </si>
  <si>
    <t>Kevin Bacon</t>
  </si>
  <si>
    <t>ORD1012</t>
  </si>
  <si>
    <t>Laura Croft</t>
  </si>
  <si>
    <t>ORD1013</t>
  </si>
  <si>
    <t>Michael Scott</t>
  </si>
  <si>
    <t>ORD1014</t>
  </si>
  <si>
    <t>Nina Nina</t>
  </si>
  <si>
    <t>ORD1015</t>
  </si>
  <si>
    <t>Oscar Martinez</t>
  </si>
  <si>
    <t>Total Revenue</t>
  </si>
  <si>
    <t>Total Cost</t>
  </si>
  <si>
    <t>Total Profit</t>
  </si>
  <si>
    <t>Profit Margin%</t>
  </si>
  <si>
    <t>Row Labels</t>
  </si>
  <si>
    <t>Grand Total</t>
  </si>
  <si>
    <t>Sum of Total Revenue</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</si>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</sst>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9" fontId="0" fillId="0" borderId="0" xfId="1" applyFont="1"/>
    <xf numFmtId="0" fontId="0" fillId="0" borderId="0" xfId="0" applyAlignment="1">
      <alignment horizontal="left"/>
    </xf>
    <xf numFmtId="0" fontId="0" fillId="0" borderId="0" xfId="0" pivotButton="1" applyAlignment="1"/>
    <xf numFmtId="0" fontId="0" fillId="0" borderId="0" xfId="0" applyAlignment="1"/>
    <xf numFmtId="0" fontId="0" fillId="0" borderId="0" xfId="0" applyNumberFormat="1" applyAlignment="1"/>
  </cellXfs>
  <cellStyles count="2">
    <cellStyle name="Normal" xfId="0" builtinId="0"/>
    <cellStyle name="Percent" xfId="1" builtinId="5"/>
  </cellStyles>
  <dxfs count="26">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Aptos Narrow"/>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[Retail_sales-analysis and profitability.xlsx]Category_analysis!PivotTable1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Sum of Total Revenue</c:v>
                </c:pt>
              </c:strCache>
            </c:strRef>
          </c:tx>
          <c:spPr>
            <a:solidFill>
              <a:schemeClr val="accent1"/>
            </a:solidFill>
            <a:ln>
              <a:noFill/>
            </a:ln>
            <a:effectLst/>
          </c:spPr>
          <c:invertIfNegative val="0"/>
          <c:cat>
            <c:strRef>
              <c:f>Category_analysis!$A$4:$A$8</c:f>
              <c:strCache>
                <c:ptCount val="4"/>
                <c:pt idx="0">
                  <c:v>Clothing</c:v>
                </c:pt>
                <c:pt idx="1">
                  <c:v>Electronics</c:v>
                </c:pt>
                <c:pt idx="2">
                  <c:v>Furniture</c:v>
                </c:pt>
                <c:pt idx="3">
                  <c:v>Home Appliances</c:v>
                </c:pt>
              </c:strCache>
            </c:strRef>
          </c:cat>
          <c:val>
            <c:numRef>
              <c:f>Category_analysis!$B$4:$B$8</c:f>
              <c:numCache>
                <c:formatCode>General</c:formatCode>
                <c:ptCount val="4"/>
                <c:pt idx="0">
                  <c:v>4075</c:v>
                </c:pt>
                <c:pt idx="1">
                  <c:v>22600</c:v>
                </c:pt>
                <c:pt idx="2">
                  <c:v>11300</c:v>
                </c:pt>
                <c:pt idx="3">
                  <c:v>4920</c:v>
                </c:pt>
              </c:numCache>
            </c:numRef>
          </c:val>
          <c:extLst>
            <c:ext xmlns:c16="http://schemas.microsoft.com/office/drawing/2014/chart" uri="{C3380CC4-5D6E-409C-BE32-E72D297353CC}">
              <c16:uniqueId val="{00000000-9C17-4584-BDFE-8AA153719633}"/>
            </c:ext>
          </c:extLst>
        </c:ser>
        <c:ser>
          <c:idx val="1"/>
          <c:order val="1"/>
          <c:tx>
            <c:strRef>
              <c:f>Category_analysis!$C$3</c:f>
              <c:strCache>
                <c:ptCount val="1"/>
                <c:pt idx="0">
                  <c:v>Sum of Total Profit</c:v>
                </c:pt>
              </c:strCache>
            </c:strRef>
          </c:tx>
          <c:spPr>
            <a:solidFill>
              <a:schemeClr val="accent2"/>
            </a:solidFill>
            <a:ln>
              <a:noFill/>
            </a:ln>
            <a:effectLst/>
          </c:spPr>
          <c:invertIfNegative val="0"/>
          <c:cat>
            <c:strRef>
              <c:f>Category_analysis!$A$4:$A$8</c:f>
              <c:strCache>
                <c:ptCount val="4"/>
                <c:pt idx="0">
                  <c:v>Clothing</c:v>
                </c:pt>
                <c:pt idx="1">
                  <c:v>Electronics</c:v>
                </c:pt>
                <c:pt idx="2">
                  <c:v>Furniture</c:v>
                </c:pt>
                <c:pt idx="3">
                  <c:v>Home Appliances</c:v>
                </c:pt>
              </c:strCache>
            </c:strRef>
          </c:cat>
          <c:val>
            <c:numRef>
              <c:f>Category_analysis!$C$4:$C$8</c:f>
              <c:numCache>
                <c:formatCode>General</c:formatCode>
                <c:ptCount val="4"/>
                <c:pt idx="0">
                  <c:v>2360</c:v>
                </c:pt>
                <c:pt idx="1">
                  <c:v>6040</c:v>
                </c:pt>
                <c:pt idx="2">
                  <c:v>3260</c:v>
                </c:pt>
                <c:pt idx="3">
                  <c:v>1780</c:v>
                </c:pt>
              </c:numCache>
            </c:numRef>
          </c:val>
          <c:extLst>
            <c:ext xmlns:c16="http://schemas.microsoft.com/office/drawing/2014/chart" uri="{C3380CC4-5D6E-409C-BE32-E72D297353CC}">
              <c16:uniqueId val="{00000001-9C17-4584-BDFE-8AA153719633}"/>
            </c:ext>
          </c:extLst>
        </c:ser>
        <c:dLbls>
          <c:showLegendKey val="0"/>
          <c:showVal val="0"/>
          <c:showCatName val="0"/>
          <c:showSerName val="0"/>
          <c:showPercent val="0"/>
          <c:showBubbleSize val="0"/>
        </c:dLbls>
        <c:gapWidth val="219"/>
        <c:overlap val="-27"/>
        <c:axId val="1300461920"/>
        <c:axId val="1313941808"/>
      </c:barChart>
      <c:catAx>
        <c:axId val="13004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41808"/>
        <c:crosses val="autoZero"/>
        <c:auto val="1"/>
        <c:lblAlgn val="ctr"/>
        <c:lblOffset val="100"/>
        <c:noMultiLvlLbl val="0"/>
      </c:catAx>
      <c:valAx>
        <c:axId val="131394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541020</xdr:colOff>
      <xdr:row>1</xdr:row>
      <xdr:rowOff>114300</xdr:rowOff>
    </xdr:from>
    <xdr:to>
      <xdr:col>13</xdr:col>
      <xdr:colOff>327660</xdr:colOff>
      <xdr:row>16</xdr:row>
      <xdr:rowOff>57150</xdr:rowOff>
    </xdr:to>
    <xdr:graphicFrame macro="">
      <xdr:nvGraphicFramePr>
        <xdr:cNvPr id="2" name="Chart 1">
          <a:extLst>
            <a:ext uri="{FF2B5EF4-FFF2-40B4-BE49-F238E27FC236}">
              <a16:creationId xmlns:a16="http://schemas.microsoft.com/office/drawing/2014/main" id="{71AC567C-DE42-0832-35EC-541417378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76200</xdr:colOff>
      <xdr:row>2</xdr:row>
      <xdr:rowOff>38100</xdr:rowOff>
    </xdr:from>
    <xdr:to>
      <xdr:col>17</xdr:col>
      <xdr:colOff>76200</xdr:colOff>
      <xdr:row>16</xdr:row>
      <xdr:rowOff>59055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7F4F8E9-A362-F8D9-D5F4-95B6D863F4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10800" y="403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IHA" refreshedDate="46313.827315046299" createdVersion="8" refreshedVersion="8" minRefreshableVersion="3" recordCount="15" xr:uid="{D7697F68-9A73-486E-9C5E-3F238B192578}">
  <cacheSource type="worksheet">
    <worksheetSource name="Table1"/>
  </cacheSource>
  <cacheFields count="12">
    <cacheField name="Order ID" numFmtId="0">
      <sharedItems/>
    </cacheField>
    <cacheField name="Order Date" numFmtId="14">
      <sharedItems containsSemiMixedTypes="0" containsNonDate="0" containsDate="1" containsString="0" minDate="2026-01-15T00:00:00" maxDate="2026-05-03T00:00:00"/>
    </cacheField>
    <cacheField name="Customer Name" numFmtId="0">
      <sharedItems/>
    </cacheField>
    <cacheField name="Category" numFmtId="0">
      <sharedItems count="4">
        <s v="Electronics"/>
        <s v="Furniture"/>
        <s v="Clothing"/>
        <s v="Home Appliances"/>
      </sharedItems>
    </cacheField>
    <cacheField name="Region" numFmtId="0">
      <sharedItems count="4">
        <s v="North"/>
        <s v="South"/>
        <s v="East"/>
        <s v="West"/>
      </sharedItems>
    </cacheField>
    <cacheField name="Units Sold" numFmtId="0">
      <sharedItems containsSemiMixedTypes="0" containsString="0" containsNumber="1" containsInteger="1" minValue="3" maxValue="50"/>
    </cacheField>
    <cacheField name="Unit Price" numFmtId="0">
      <sharedItems containsSemiMixedTypes="0" containsString="0" containsNumber="1" containsInteger="1" minValue="20" maxValue="1200"/>
    </cacheField>
    <cacheField name="Unit Cost" numFmtId="0">
      <sharedItems containsSemiMixedTypes="0" containsString="0" containsNumber="1" containsInteger="1" minValue="8" maxValue="900"/>
    </cacheField>
    <cacheField name="Total Revenue" numFmtId="0">
      <sharedItems containsSemiMixedTypes="0" containsString="0" containsNumber="1" containsInteger="1" minValue="875" maxValue="7200"/>
    </cacheField>
    <cacheField name="Total Cost" numFmtId="0">
      <sharedItems containsSemiMixedTypes="0" containsString="0" containsNumber="1" containsInteger="1" minValue="375" maxValue="5400"/>
    </cacheField>
    <cacheField name="Total Profit" numFmtId="0">
      <sharedItems containsSemiMixedTypes="0" containsString="0" containsNumber="1" containsInteger="1" minValue="500" maxValue="1800"/>
    </cacheField>
    <cacheField name="Profit Margin%" numFmtId="9">
      <sharedItems containsSemiMixedTypes="0" containsString="0" containsNumber="1" minValue="0.25" maxValue="0.6"/>
    </cacheField>
  </cacheFields>
  <extLst>
    <ext xmlns:x14="http://schemas.microsoft.com/office/spreadsheetml/2009/9/main" uri="{725AE2AE-9491-48be-B2B4-4EB974FC3084}">
      <x14:pivotCacheDefinition pivotCacheId="2023024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RD1001"/>
    <d v="2026-01-15T00:00:00"/>
    <s v="Alice Smith"/>
    <x v="0"/>
    <x v="0"/>
    <n v="12"/>
    <n v="250"/>
    <n v="180"/>
    <n v="3000"/>
    <n v="2160"/>
    <n v="840"/>
    <n v="0.28000000000000003"/>
  </r>
  <r>
    <s v="ORD1002"/>
    <d v="2026-01-18T00:00:00"/>
    <s v="Bob Johnson"/>
    <x v="1"/>
    <x v="1"/>
    <n v="5"/>
    <n v="450"/>
    <n v="320"/>
    <n v="2250"/>
    <n v="1600"/>
    <n v="650"/>
    <n v="0.28888888888888886"/>
  </r>
  <r>
    <s v="ORD1003"/>
    <d v="2026-01-20T00:00:00"/>
    <s v="Charlie Brown"/>
    <x v="2"/>
    <x v="2"/>
    <n v="25"/>
    <n v="35"/>
    <n v="15"/>
    <n v="875"/>
    <n v="375"/>
    <n v="500"/>
    <n v="0.5714285714285714"/>
  </r>
  <r>
    <s v="ORD1004"/>
    <d v="2026-02-02T00:00:00"/>
    <s v="Diana Prince"/>
    <x v="0"/>
    <x v="3"/>
    <n v="8"/>
    <n v="800"/>
    <n v="600"/>
    <n v="6400"/>
    <n v="4800"/>
    <n v="1600"/>
    <n v="0.25"/>
  </r>
  <r>
    <s v="ORD1005"/>
    <d v="2026-02-10T00:00:00"/>
    <s v="Evan Wright"/>
    <x v="3"/>
    <x v="0"/>
    <n v="15"/>
    <n v="120"/>
    <n v="80"/>
    <n v="1800"/>
    <n v="1200"/>
    <n v="600"/>
    <n v="0.33333333333333331"/>
  </r>
  <r>
    <s v="ORD1006"/>
    <d v="2026-02-14T00:00:00"/>
    <s v="Fiona Gallagher"/>
    <x v="1"/>
    <x v="2"/>
    <n v="3"/>
    <n v="950"/>
    <n v="700"/>
    <n v="2850"/>
    <n v="2100"/>
    <n v="750"/>
    <n v="0.26315789473684209"/>
  </r>
  <r>
    <s v="ORD1007"/>
    <d v="2026-03-01T00:00:00"/>
    <s v="George Clark"/>
    <x v="2"/>
    <x v="1"/>
    <n v="40"/>
    <n v="25"/>
    <n v="10"/>
    <n v="1000"/>
    <n v="400"/>
    <n v="600"/>
    <n v="0.6"/>
  </r>
  <r>
    <s v="ORD1008"/>
    <d v="2026-03-05T00:00:00"/>
    <s v="Hannah Abbott"/>
    <x v="0"/>
    <x v="0"/>
    <n v="20"/>
    <n v="300"/>
    <n v="210"/>
    <n v="6000"/>
    <n v="4200"/>
    <n v="1800"/>
    <n v="0.3"/>
  </r>
  <r>
    <s v="ORD1009"/>
    <d v="2026-03-12T00:00:00"/>
    <s v="Ian Malcolm"/>
    <x v="3"/>
    <x v="3"/>
    <n v="10"/>
    <n v="150"/>
    <n v="95"/>
    <n v="1500"/>
    <n v="950"/>
    <n v="550"/>
    <n v="0.36666666666666664"/>
  </r>
  <r>
    <s v="ORD1010"/>
    <d v="2026-03-22T00:00:00"/>
    <s v="Julia Roberts"/>
    <x v="1"/>
    <x v="1"/>
    <n v="7"/>
    <n v="600"/>
    <n v="420"/>
    <n v="4200"/>
    <n v="2940"/>
    <n v="1260"/>
    <n v="0.3"/>
  </r>
  <r>
    <s v="ORD1011"/>
    <d v="2026-04-03T00:00:00"/>
    <s v="Kevin Bacon"/>
    <x v="2"/>
    <x v="0"/>
    <n v="30"/>
    <n v="40"/>
    <n v="18"/>
    <n v="1200"/>
    <n v="540"/>
    <n v="660"/>
    <n v="0.55000000000000004"/>
  </r>
  <r>
    <s v="ORD1012"/>
    <d v="2026-04-11T00:00:00"/>
    <s v="Laura Croft"/>
    <x v="0"/>
    <x v="2"/>
    <n v="6"/>
    <n v="1200"/>
    <n v="900"/>
    <n v="7200"/>
    <n v="5400"/>
    <n v="1800"/>
    <n v="0.25"/>
  </r>
  <r>
    <s v="ORD1013"/>
    <d v="2026-04-18T00:00:00"/>
    <s v="Michael Scott"/>
    <x v="1"/>
    <x v="3"/>
    <n v="4"/>
    <n v="500"/>
    <n v="350"/>
    <n v="2000"/>
    <n v="1400"/>
    <n v="600"/>
    <n v="0.3"/>
  </r>
  <r>
    <s v="ORD1014"/>
    <d v="2026-04-25T00:00:00"/>
    <s v="Nina Nina"/>
    <x v="3"/>
    <x v="1"/>
    <n v="18"/>
    <n v="90"/>
    <n v="55"/>
    <n v="1620"/>
    <n v="990"/>
    <n v="630"/>
    <n v="0.3888888888888889"/>
  </r>
  <r>
    <s v="ORD1015"/>
    <d v="2026-05-02T00:00:00"/>
    <s v="Oscar Martinez"/>
    <x v="2"/>
    <x v="2"/>
    <n v="50"/>
    <n v="20"/>
    <n v="8"/>
    <n v="1000"/>
    <n v="400"/>
    <n v="60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6C1DC-96C8-4B9C-8F47-B5DD4715F26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2">
    <pivotField showAll="0"/>
    <pivotField numFmtId="14" showAll="0"/>
    <pivotField showAll="0"/>
    <pivotField axis="axisRow" showAll="0">
      <items count="5">
        <item x="2"/>
        <item x="0"/>
        <item x="1"/>
        <item x="3"/>
        <item t="default"/>
      </items>
    </pivotField>
    <pivotField showAll="0">
      <items count="5">
        <item x="2"/>
        <item x="0"/>
        <item x="1"/>
        <item x="3"/>
        <item t="default"/>
      </items>
    </pivotField>
    <pivotField showAll="0"/>
    <pivotField showAll="0"/>
    <pivotField showAll="0"/>
    <pivotField dataField="1" showAll="0"/>
    <pivotField showAll="0"/>
    <pivotField dataField="1" showAll="0"/>
    <pivotField numFmtId="9" showAll="0"/>
  </pivotFields>
  <rowFields count="1">
    <field x="3"/>
  </rowFields>
  <rowItems count="5">
    <i>
      <x/>
    </i>
    <i>
      <x v="1"/>
    </i>
    <i>
      <x v="2"/>
    </i>
    <i>
      <x v="3"/>
    </i>
    <i t="grand">
      <x/>
    </i>
  </rowItems>
  <colFields count="1">
    <field x="-2"/>
  </colFields>
  <colItems count="2">
    <i>
      <x/>
    </i>
    <i i="1">
      <x v="1"/>
    </i>
  </colItems>
  <dataFields count="2">
    <dataField name="Sum of Total Revenue" fld="8" baseField="0" baseItem="0"/>
    <dataField name="Sum of Total Profit" fld="10" baseField="0" baseItem="0"/>
  </dataFields>
  <formats count="6">
    <format dxfId="11">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2434BE-DF19-4815-A275-94AB7A41F5AE}" sourceName="Region">
  <pivotTables>
    <pivotTable tabId="2" name="PivotTable1"/>
  </pivotTables>
  <data>
    <tabular pivotCacheId="202302478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9351D4-9490-4332-91DC-FF2A5E894220}"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98F76-7283-4619-BE4A-CF8BC207CC10}" name="Table1" displayName="Table1" ref="A1:L16" totalsRowShown="0">
  <autoFilter ref="A1:L16" xr:uid="{25898F76-7283-4619-BE4A-CF8BC207CC10}"/>
  <tableColumns count="12">
    <tableColumn id="1" xr3:uid="{70A2A2E3-12B7-481A-956E-5A8FD6A1FF3D}" name="Order ID"/>
    <tableColumn id="2" xr3:uid="{6838FCA6-8B2A-492B-AC98-5A282B1AA069}" name="Order Date" dataDxfId="25"/>
    <tableColumn id="3" xr3:uid="{BCD4019E-23E1-4D25-BEB8-38CD7556F42A}" name="Customer Name"/>
    <tableColumn id="4" xr3:uid="{368E654C-5887-4F07-AE8C-53EFD1F4807E}" name="Category"/>
    <tableColumn id="5" xr3:uid="{D530AA2D-7FA7-4950-8B16-1E79E3A001F0}" name="Region"/>
    <tableColumn id="6" xr3:uid="{8B795E7A-52A0-4CA3-A4B7-95D50B5A285F}" name="Units Sold"/>
    <tableColumn id="7" xr3:uid="{0BB64142-46CC-499B-82B1-51176EEB5A89}" name="Unit Price"/>
    <tableColumn id="8" xr3:uid="{11689A47-4DB1-4D4F-8211-1152EBC685B4}" name="Unit Cost"/>
    <tableColumn id="9" xr3:uid="{95255B19-04FF-4DE3-8DCD-9EA27597B8B3}" name="Total Revenue">
      <calculatedColumnFormula>F2*G2</calculatedColumnFormula>
    </tableColumn>
    <tableColumn id="10" xr3:uid="{B20BE8C9-6411-46FD-8B36-CC4A88978FD5}" name="Total Cost">
      <calculatedColumnFormula>F2*H2</calculatedColumnFormula>
    </tableColumn>
    <tableColumn id="11" xr3:uid="{AB577769-8697-4958-8CDB-37F3BD45677C}" name="Total Profit">
      <calculatedColumnFormula>I2-J2</calculatedColumnFormula>
    </tableColumn>
    <tableColumn id="12" xr3:uid="{720E7879-4E0A-4951-BA0E-1071EF064959}" name="Profit Margin%" dataDxfId="24" dataCellStyle="Percent">
      <calculatedColumnFormula>K2/I2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1FF6-383F-4E7C-876C-11FBEC050B1F}">
  <dimension ref="A1:L16"/>
  <sheetViews>
    <sheetView tabSelected="1" workbookViewId="0">
      <selection activeCell="I13" sqref="I13"/>
    </sheetView>
  </sheetViews>
  <sheetFormatPr defaultRowHeight="14.4" x14ac:dyDescent="0.3"/>
  <cols>
    <col min="1" max="1" width="9.77734375" customWidth="1"/>
    <col min="2" max="2" width="11.88671875" customWidth="1"/>
    <col min="3" max="3" width="16.33203125" customWidth="1"/>
    <col min="4" max="4" width="15.21875" bestFit="1" customWidth="1"/>
    <col min="5" max="5" width="8.44140625" customWidth="1"/>
    <col min="6" max="6" width="11.33203125" customWidth="1"/>
    <col min="7" max="7" width="11" customWidth="1"/>
    <col min="8" max="8" width="10.44140625" customWidth="1"/>
    <col min="9" max="9" width="14.33203125" customWidth="1"/>
    <col min="10" max="10" width="11.109375" customWidth="1"/>
    <col min="11" max="11" width="11.88671875" customWidth="1"/>
    <col min="12" max="12" width="14.88671875" customWidth="1"/>
  </cols>
  <sheetData>
    <row r="1" spans="1:12" x14ac:dyDescent="0.3">
      <c r="A1" t="s">
        <v>0</v>
      </c>
      <c r="B1" t="s">
        <v>1</v>
      </c>
      <c r="C1" t="s">
        <v>2</v>
      </c>
      <c r="D1" t="s">
        <v>3</v>
      </c>
      <c r="E1" t="s">
        <v>4</v>
      </c>
      <c r="F1" t="s">
        <v>5</v>
      </c>
      <c r="G1" t="s">
        <v>6</v>
      </c>
      <c r="H1" t="s">
        <v>7</v>
      </c>
      <c r="I1" t="s">
        <v>46</v>
      </c>
      <c r="J1" t="s">
        <v>47</v>
      </c>
      <c r="K1" t="s">
        <v>48</v>
      </c>
      <c r="L1" t="s">
        <v>49</v>
      </c>
    </row>
    <row r="2" spans="1:12" x14ac:dyDescent="0.3">
      <c r="A2" t="s">
        <v>8</v>
      </c>
      <c r="B2" s="1">
        <v>46037</v>
      </c>
      <c r="C2" t="s">
        <v>9</v>
      </c>
      <c r="D2" t="s">
        <v>10</v>
      </c>
      <c r="E2" t="s">
        <v>11</v>
      </c>
      <c r="F2">
        <v>12</v>
      </c>
      <c r="G2">
        <v>250</v>
      </c>
      <c r="H2">
        <v>180</v>
      </c>
      <c r="I2">
        <f>F2*G2</f>
        <v>3000</v>
      </c>
      <c r="J2">
        <f>F2*H2</f>
        <v>2160</v>
      </c>
      <c r="K2">
        <f>I2-J2</f>
        <v>840</v>
      </c>
      <c r="L2" s="2">
        <f>K2/I2</f>
        <v>0.28000000000000003</v>
      </c>
    </row>
    <row r="3" spans="1:12" x14ac:dyDescent="0.3">
      <c r="A3" t="s">
        <v>12</v>
      </c>
      <c r="B3" s="1">
        <v>46040</v>
      </c>
      <c r="C3" t="s">
        <v>13</v>
      </c>
      <c r="D3" t="s">
        <v>14</v>
      </c>
      <c r="E3" t="s">
        <v>15</v>
      </c>
      <c r="F3">
        <v>5</v>
      </c>
      <c r="G3">
        <v>450</v>
      </c>
      <c r="H3">
        <v>320</v>
      </c>
      <c r="I3">
        <f t="shared" ref="I3:I16" si="0">F3*G3</f>
        <v>2250</v>
      </c>
      <c r="J3">
        <f t="shared" ref="J3:J16" si="1">F3*H3</f>
        <v>1600</v>
      </c>
      <c r="K3">
        <f t="shared" ref="K3:K16" si="2">I3-J3</f>
        <v>650</v>
      </c>
      <c r="L3" s="2">
        <f t="shared" ref="L3:L16" si="3">K3/I3</f>
        <v>0.28888888888888886</v>
      </c>
    </row>
    <row r="4" spans="1:12" x14ac:dyDescent="0.3">
      <c r="A4" t="s">
        <v>16</v>
      </c>
      <c r="B4" s="1">
        <v>46042</v>
      </c>
      <c r="C4" t="s">
        <v>17</v>
      </c>
      <c r="D4" t="s">
        <v>18</v>
      </c>
      <c r="E4" t="s">
        <v>19</v>
      </c>
      <c r="F4">
        <v>25</v>
      </c>
      <c r="G4">
        <v>35</v>
      </c>
      <c r="H4">
        <v>15</v>
      </c>
      <c r="I4">
        <f t="shared" si="0"/>
        <v>875</v>
      </c>
      <c r="J4">
        <f t="shared" si="1"/>
        <v>375</v>
      </c>
      <c r="K4">
        <f t="shared" si="2"/>
        <v>500</v>
      </c>
      <c r="L4" s="2">
        <f t="shared" si="3"/>
        <v>0.5714285714285714</v>
      </c>
    </row>
    <row r="5" spans="1:12" x14ac:dyDescent="0.3">
      <c r="A5" t="s">
        <v>20</v>
      </c>
      <c r="B5" s="1">
        <v>46055</v>
      </c>
      <c r="C5" t="s">
        <v>21</v>
      </c>
      <c r="D5" t="s">
        <v>10</v>
      </c>
      <c r="E5" t="s">
        <v>22</v>
      </c>
      <c r="F5">
        <v>8</v>
      </c>
      <c r="G5">
        <v>800</v>
      </c>
      <c r="H5">
        <v>600</v>
      </c>
      <c r="I5">
        <f t="shared" si="0"/>
        <v>6400</v>
      </c>
      <c r="J5">
        <f t="shared" si="1"/>
        <v>4800</v>
      </c>
      <c r="K5">
        <f t="shared" si="2"/>
        <v>1600</v>
      </c>
      <c r="L5" s="2">
        <f t="shared" si="3"/>
        <v>0.25</v>
      </c>
    </row>
    <row r="6" spans="1:12" x14ac:dyDescent="0.3">
      <c r="A6" t="s">
        <v>23</v>
      </c>
      <c r="B6" s="1">
        <v>46063</v>
      </c>
      <c r="C6" t="s">
        <v>24</v>
      </c>
      <c r="D6" t="s">
        <v>25</v>
      </c>
      <c r="E6" t="s">
        <v>11</v>
      </c>
      <c r="F6">
        <v>15</v>
      </c>
      <c r="G6">
        <v>120</v>
      </c>
      <c r="H6">
        <v>80</v>
      </c>
      <c r="I6">
        <f t="shared" si="0"/>
        <v>1800</v>
      </c>
      <c r="J6">
        <f t="shared" si="1"/>
        <v>1200</v>
      </c>
      <c r="K6">
        <f t="shared" si="2"/>
        <v>600</v>
      </c>
      <c r="L6" s="2">
        <f t="shared" si="3"/>
        <v>0.33333333333333331</v>
      </c>
    </row>
    <row r="7" spans="1:12" x14ac:dyDescent="0.3">
      <c r="A7" t="s">
        <v>26</v>
      </c>
      <c r="B7" s="1">
        <v>46067</v>
      </c>
      <c r="C7" t="s">
        <v>27</v>
      </c>
      <c r="D7" t="s">
        <v>14</v>
      </c>
      <c r="E7" t="s">
        <v>19</v>
      </c>
      <c r="F7">
        <v>3</v>
      </c>
      <c r="G7">
        <v>950</v>
      </c>
      <c r="H7">
        <v>700</v>
      </c>
      <c r="I7">
        <f t="shared" si="0"/>
        <v>2850</v>
      </c>
      <c r="J7">
        <f t="shared" si="1"/>
        <v>2100</v>
      </c>
      <c r="K7">
        <f t="shared" si="2"/>
        <v>750</v>
      </c>
      <c r="L7" s="2">
        <f t="shared" si="3"/>
        <v>0.26315789473684209</v>
      </c>
    </row>
    <row r="8" spans="1:12" x14ac:dyDescent="0.3">
      <c r="A8" t="s">
        <v>28</v>
      </c>
      <c r="B8" s="1">
        <v>46082</v>
      </c>
      <c r="C8" t="s">
        <v>29</v>
      </c>
      <c r="D8" t="s">
        <v>18</v>
      </c>
      <c r="E8" t="s">
        <v>15</v>
      </c>
      <c r="F8">
        <v>40</v>
      </c>
      <c r="G8">
        <v>25</v>
      </c>
      <c r="H8">
        <v>10</v>
      </c>
      <c r="I8">
        <f t="shared" si="0"/>
        <v>1000</v>
      </c>
      <c r="J8">
        <f t="shared" si="1"/>
        <v>400</v>
      </c>
      <c r="K8">
        <f t="shared" si="2"/>
        <v>600</v>
      </c>
      <c r="L8" s="2">
        <f t="shared" si="3"/>
        <v>0.6</v>
      </c>
    </row>
    <row r="9" spans="1:12" x14ac:dyDescent="0.3">
      <c r="A9" t="s">
        <v>30</v>
      </c>
      <c r="B9" s="1">
        <v>46086</v>
      </c>
      <c r="C9" t="s">
        <v>31</v>
      </c>
      <c r="D9" t="s">
        <v>10</v>
      </c>
      <c r="E9" t="s">
        <v>11</v>
      </c>
      <c r="F9">
        <v>20</v>
      </c>
      <c r="G9">
        <v>300</v>
      </c>
      <c r="H9">
        <v>210</v>
      </c>
      <c r="I9">
        <f t="shared" si="0"/>
        <v>6000</v>
      </c>
      <c r="J9">
        <f t="shared" si="1"/>
        <v>4200</v>
      </c>
      <c r="K9">
        <f t="shared" si="2"/>
        <v>1800</v>
      </c>
      <c r="L9" s="2">
        <f t="shared" si="3"/>
        <v>0.3</v>
      </c>
    </row>
    <row r="10" spans="1:12" x14ac:dyDescent="0.3">
      <c r="A10" t="s">
        <v>32</v>
      </c>
      <c r="B10" s="1">
        <v>46093</v>
      </c>
      <c r="C10" t="s">
        <v>33</v>
      </c>
      <c r="D10" t="s">
        <v>25</v>
      </c>
      <c r="E10" t="s">
        <v>22</v>
      </c>
      <c r="F10">
        <v>10</v>
      </c>
      <c r="G10">
        <v>150</v>
      </c>
      <c r="H10">
        <v>95</v>
      </c>
      <c r="I10">
        <f t="shared" si="0"/>
        <v>1500</v>
      </c>
      <c r="J10">
        <f t="shared" si="1"/>
        <v>950</v>
      </c>
      <c r="K10">
        <f t="shared" si="2"/>
        <v>550</v>
      </c>
      <c r="L10" s="2">
        <f t="shared" si="3"/>
        <v>0.36666666666666664</v>
      </c>
    </row>
    <row r="11" spans="1:12" x14ac:dyDescent="0.3">
      <c r="A11" t="s">
        <v>34</v>
      </c>
      <c r="B11" s="1">
        <v>46103</v>
      </c>
      <c r="C11" t="s">
        <v>35</v>
      </c>
      <c r="D11" t="s">
        <v>14</v>
      </c>
      <c r="E11" t="s">
        <v>15</v>
      </c>
      <c r="F11">
        <v>7</v>
      </c>
      <c r="G11">
        <v>600</v>
      </c>
      <c r="H11">
        <v>420</v>
      </c>
      <c r="I11">
        <f t="shared" si="0"/>
        <v>4200</v>
      </c>
      <c r="J11">
        <f t="shared" si="1"/>
        <v>2940</v>
      </c>
      <c r="K11">
        <f t="shared" si="2"/>
        <v>1260</v>
      </c>
      <c r="L11" s="2">
        <f t="shared" si="3"/>
        <v>0.3</v>
      </c>
    </row>
    <row r="12" spans="1:12" x14ac:dyDescent="0.3">
      <c r="A12" t="s">
        <v>36</v>
      </c>
      <c r="B12" s="1">
        <v>46115</v>
      </c>
      <c r="C12" t="s">
        <v>37</v>
      </c>
      <c r="D12" t="s">
        <v>18</v>
      </c>
      <c r="E12" t="s">
        <v>11</v>
      </c>
      <c r="F12">
        <v>30</v>
      </c>
      <c r="G12">
        <v>40</v>
      </c>
      <c r="H12">
        <v>18</v>
      </c>
      <c r="I12">
        <f t="shared" si="0"/>
        <v>1200</v>
      </c>
      <c r="J12">
        <f t="shared" si="1"/>
        <v>540</v>
      </c>
      <c r="K12">
        <f t="shared" si="2"/>
        <v>660</v>
      </c>
      <c r="L12" s="2">
        <f t="shared" si="3"/>
        <v>0.55000000000000004</v>
      </c>
    </row>
    <row r="13" spans="1:12" x14ac:dyDescent="0.3">
      <c r="A13" t="s">
        <v>38</v>
      </c>
      <c r="B13" s="1">
        <v>46123</v>
      </c>
      <c r="C13" t="s">
        <v>39</v>
      </c>
      <c r="D13" t="s">
        <v>10</v>
      </c>
      <c r="E13" t="s">
        <v>19</v>
      </c>
      <c r="F13">
        <v>6</v>
      </c>
      <c r="G13">
        <v>1200</v>
      </c>
      <c r="H13">
        <v>900</v>
      </c>
      <c r="I13">
        <f t="shared" si="0"/>
        <v>7200</v>
      </c>
      <c r="J13">
        <f t="shared" si="1"/>
        <v>5400</v>
      </c>
      <c r="K13">
        <f t="shared" si="2"/>
        <v>1800</v>
      </c>
      <c r="L13" s="2">
        <f t="shared" si="3"/>
        <v>0.25</v>
      </c>
    </row>
    <row r="14" spans="1:12" x14ac:dyDescent="0.3">
      <c r="A14" t="s">
        <v>40</v>
      </c>
      <c r="B14" s="1">
        <v>46130</v>
      </c>
      <c r="C14" t="s">
        <v>41</v>
      </c>
      <c r="D14" t="s">
        <v>14</v>
      </c>
      <c r="E14" t="s">
        <v>22</v>
      </c>
      <c r="F14">
        <v>4</v>
      </c>
      <c r="G14">
        <v>500</v>
      </c>
      <c r="H14">
        <v>350</v>
      </c>
      <c r="I14">
        <f t="shared" si="0"/>
        <v>2000</v>
      </c>
      <c r="J14">
        <f t="shared" si="1"/>
        <v>1400</v>
      </c>
      <c r="K14">
        <f t="shared" si="2"/>
        <v>600</v>
      </c>
      <c r="L14" s="2">
        <f t="shared" si="3"/>
        <v>0.3</v>
      </c>
    </row>
    <row r="15" spans="1:12" x14ac:dyDescent="0.3">
      <c r="A15" t="s">
        <v>42</v>
      </c>
      <c r="B15" s="1">
        <v>46137</v>
      </c>
      <c r="C15" t="s">
        <v>43</v>
      </c>
      <c r="D15" t="s">
        <v>25</v>
      </c>
      <c r="E15" t="s">
        <v>15</v>
      </c>
      <c r="F15">
        <v>18</v>
      </c>
      <c r="G15">
        <v>90</v>
      </c>
      <c r="H15">
        <v>55</v>
      </c>
      <c r="I15">
        <f t="shared" si="0"/>
        <v>1620</v>
      </c>
      <c r="J15">
        <f t="shared" si="1"/>
        <v>990</v>
      </c>
      <c r="K15">
        <f t="shared" si="2"/>
        <v>630</v>
      </c>
      <c r="L15" s="2">
        <f t="shared" si="3"/>
        <v>0.3888888888888889</v>
      </c>
    </row>
    <row r="16" spans="1:12" x14ac:dyDescent="0.3">
      <c r="A16" t="s">
        <v>44</v>
      </c>
      <c r="B16" s="1">
        <v>46144</v>
      </c>
      <c r="C16" t="s">
        <v>45</v>
      </c>
      <c r="D16" t="s">
        <v>18</v>
      </c>
      <c r="E16" t="s">
        <v>19</v>
      </c>
      <c r="F16">
        <v>50</v>
      </c>
      <c r="G16">
        <v>20</v>
      </c>
      <c r="H16">
        <v>8</v>
      </c>
      <c r="I16">
        <f t="shared" si="0"/>
        <v>1000</v>
      </c>
      <c r="J16">
        <f t="shared" si="1"/>
        <v>400</v>
      </c>
      <c r="K16">
        <f t="shared" si="2"/>
        <v>600</v>
      </c>
      <c r="L16" s="2">
        <f t="shared" si="3"/>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D815-F9AC-49C9-8578-2F047D5BCF7E}">
  <dimension ref="A3:C8"/>
  <sheetViews>
    <sheetView workbookViewId="0">
      <selection activeCell="B11" sqref="B11"/>
    </sheetView>
  </sheetViews>
  <sheetFormatPr defaultRowHeight="14.4" x14ac:dyDescent="0.3"/>
  <cols>
    <col min="1" max="1" width="15.21875" bestFit="1" customWidth="1"/>
    <col min="2" max="2" width="18.6640625" bestFit="1" customWidth="1"/>
    <col min="3" max="3" width="16.109375" bestFit="1" customWidth="1"/>
  </cols>
  <sheetData>
    <row r="3" spans="1:3" x14ac:dyDescent="0.3">
      <c r="A3" s="4" t="s">
        <v>50</v>
      </c>
      <c r="B3" s="5" t="s">
        <v>52</v>
      </c>
      <c r="C3" s="5" t="s">
        <v>53</v>
      </c>
    </row>
    <row r="4" spans="1:3" x14ac:dyDescent="0.3">
      <c r="A4" s="3" t="s">
        <v>18</v>
      </c>
      <c r="B4" s="6">
        <v>4075</v>
      </c>
      <c r="C4" s="6">
        <v>2360</v>
      </c>
    </row>
    <row r="5" spans="1:3" x14ac:dyDescent="0.3">
      <c r="A5" s="3" t="s">
        <v>10</v>
      </c>
      <c r="B5" s="6">
        <v>22600</v>
      </c>
      <c r="C5" s="6">
        <v>6040</v>
      </c>
    </row>
    <row r="6" spans="1:3" x14ac:dyDescent="0.3">
      <c r="A6" s="3" t="s">
        <v>14</v>
      </c>
      <c r="B6" s="6">
        <v>11300</v>
      </c>
      <c r="C6" s="6">
        <v>3260</v>
      </c>
    </row>
    <row r="7" spans="1:3" x14ac:dyDescent="0.3">
      <c r="A7" s="3" t="s">
        <v>25</v>
      </c>
      <c r="B7" s="6">
        <v>4920</v>
      </c>
      <c r="C7" s="6">
        <v>1780</v>
      </c>
    </row>
    <row r="8" spans="1:3" x14ac:dyDescent="0.3">
      <c r="A8" s="3" t="s">
        <v>51</v>
      </c>
      <c r="B8" s="6">
        <v>42895</v>
      </c>
      <c r="C8" s="6">
        <v>13440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Category_analysis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shaikhfarihaf@hotmail.com</dc:creator>
  <cp:lastModifiedBy>shaikhfarihaf@hotmail.com</cp:lastModifiedBy>
  <dcterms:created xsi:type="dcterms:W3CDTF">2026-10-18T14:01:58Z</dcterms:created>
  <dcterms:modified xsi:type="dcterms:W3CDTF">2026-10-18T14:34:58Z</dcterms:modified>
</cp:coreProperties>
</file>